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mendoza\Desktop\"/>
    </mc:Choice>
  </mc:AlternateContent>
  <bookViews>
    <workbookView xWindow="0" yWindow="0" windowWidth="25170" windowHeight="6945"/>
  </bookViews>
  <sheets>
    <sheet name="tbl_oficinas" sheetId="2" r:id="rId1"/>
    <sheet name="Hoja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2" i="2"/>
</calcChain>
</file>

<file path=xl/sharedStrings.xml><?xml version="1.0" encoding="utf-8"?>
<sst xmlns="http://schemas.openxmlformats.org/spreadsheetml/2006/main" count="182" uniqueCount="66">
  <si>
    <t>id_dep</t>
  </si>
  <si>
    <t>id_area</t>
  </si>
  <si>
    <t>id_oficina</t>
  </si>
  <si>
    <t>descripcion</t>
  </si>
  <si>
    <t>GERENCIA GENERAL</t>
  </si>
  <si>
    <t>EQUIPO FUNCIONAL DE PLANEAMIENTO, PRESUPUESTO Y MODERNIZACIÓN</t>
  </si>
  <si>
    <t>OFICINA DE PLANEAMIENTO</t>
  </si>
  <si>
    <t>OFICINA DE PRESUPUESTO</t>
  </si>
  <si>
    <t>OFICINA DE MODERNIZACIÓN</t>
  </si>
  <si>
    <t>EQUIPO FUNCIONAL DE ASESORÍA JURÍDICA</t>
  </si>
  <si>
    <t>EQUIPO FUNCIONAL DE ADMINISTRACIÓN</t>
  </si>
  <si>
    <t>OFICINA DE ECONOMÍA</t>
  </si>
  <si>
    <t>OFICINA DE LOGÍSTICA Y PATRIMONIO</t>
  </si>
  <si>
    <t>EQUIPO FUNCIONAL DE GESTIÓN Y DESARROLLO DE RECURSOS HUMANOS</t>
  </si>
  <si>
    <t>EQUIPO FUNCIONAL DE ESTADÍSTICA, TECNOLOGÍA DE LA INFORMACIÓN Y COMUNICACIONES</t>
  </si>
  <si>
    <t>EQUIPO FUNCIONAL DE GESTIÓN DEL ASEGURADO</t>
  </si>
  <si>
    <t>EQUIPO FUNCIONAL DE FINANCIAMIENTO</t>
  </si>
  <si>
    <t>EQUIPO FUNCIONAL DE PRESTACIONES DE SALUD</t>
  </si>
  <si>
    <t>OFICINAS DE SEGUROS</t>
  </si>
  <si>
    <t>UNIDAD SALUDPOL LIMA</t>
  </si>
  <si>
    <t>UNIDAD SALUDPOL LAMBAYEQUE</t>
  </si>
  <si>
    <t>UNIDAD SALUDPOL TUMBES</t>
  </si>
  <si>
    <t>UNIDAD SALUDPOL PIURA</t>
  </si>
  <si>
    <t>UNIDAD SALUDPOL SAN MARTIN</t>
  </si>
  <si>
    <t>UNIDAD SALUDPOL HUARAZ</t>
  </si>
  <si>
    <t>UNIDAD SALUDPOL CUSCO</t>
  </si>
  <si>
    <t>UNIDAD SALUDPOL CAJAMARCA</t>
  </si>
  <si>
    <t>UNIDAD SALUDPOL MADRE DE DIOS</t>
  </si>
  <si>
    <t>UNIDAD SALUDPOL AMAZONAS</t>
  </si>
  <si>
    <t>UNIDAD SALUDPOL AYACUCHO</t>
  </si>
  <si>
    <t>UNIDAD SALUDPOL ICA</t>
  </si>
  <si>
    <t>UNIDAD SALUDPOL LORETO</t>
  </si>
  <si>
    <t>UNIDAD SALUDPOL MOQUEGUA</t>
  </si>
  <si>
    <t>UNIDAD SALUDPOL TACNA</t>
  </si>
  <si>
    <t>UNIDAD SALUDPOL PUNO</t>
  </si>
  <si>
    <t>UNIDAD SALUDPOL AREQUIPA</t>
  </si>
  <si>
    <t>UNIDAD SALUDPOL LA LIBERTAD</t>
  </si>
  <si>
    <t>UNIDAD SALUDPOL APURIMAC</t>
  </si>
  <si>
    <t>UNIDAD SALUDPOL JUNIN</t>
  </si>
  <si>
    <t>UNIDAD SALUDPOL UCAYALI</t>
  </si>
  <si>
    <t>UNIDAD SALUDPOL PASCO</t>
  </si>
  <si>
    <t>UNIDAD SALUDPOL HUANUCO</t>
  </si>
  <si>
    <t>UNIDAD SALUDPOL HUANCAVELICA</t>
  </si>
  <si>
    <t>GESTIÓN DOCUMENTARIA Y ARCHIVO</t>
  </si>
  <si>
    <t>OFICINA DE PROMOCION Y VIGILANCIA DE LOS DERECHOS DEL ASEGURADO</t>
  </si>
  <si>
    <t>OFICINA DE GESTION DEL ASEGURAMIENTO</t>
  </si>
  <si>
    <t>OFICINA DE SEGUROS LIMA</t>
  </si>
  <si>
    <t>OFICINA DE CARTAS DE GARANTIA</t>
  </si>
  <si>
    <t>OFICINA DE ECONOMIA - AREA DE TESORERIA</t>
  </si>
  <si>
    <t>OFICINA DE ECONOMIA - AREA DE CONTABILIDAD</t>
  </si>
  <si>
    <t>OFICINA DE ECONOMIA - AREA DE CONTROL PREVIO</t>
  </si>
  <si>
    <t>OFICINA DE ECONOMIA - AREA DE CAJA CHICA</t>
  </si>
  <si>
    <t>GESTIÓN DOCUMENTARIA Y ARCHIVO - HLNS</t>
  </si>
  <si>
    <t>OFICINA DE ECONOMIA - AREA DE CAJA CHICA - HLNS</t>
  </si>
  <si>
    <t>OFICINA DE ECONOMIA - AREA DE CONTROL PREVIO - HLNS</t>
  </si>
  <si>
    <t>OFICINA DE LOGISTICA Y SERVICIOS GENERALES - ALMACEN CENTRAL</t>
  </si>
  <si>
    <t>OFICINA DE LOGISTICA Y SERVICIOS GENERALES - ACTOS PREPARATORIOS PROCEDIMIENTO SELECCIÓN</t>
  </si>
  <si>
    <t>OFICINA DE LOGISTICA Y SERVICIOS GENERALES - EJECUCION CONTRACTUAL</t>
  </si>
  <si>
    <t>OFICINA DE LOGISTICA Y SERVICIOS GENERALES - PROCESOS</t>
  </si>
  <si>
    <t>OFICINA DE LOGISTICA Y SERVICIOS GENERALES - PROGRAMACION</t>
  </si>
  <si>
    <t>OFICINA DE LOGISTICA Y SERVICIOS GENERALES - ACTOS PREPARATORIOS MENOR 8 UIT</t>
  </si>
  <si>
    <t>OFICINA DE LOGISTICA Y SERVICIOS GENERALES - PATRIMONIO</t>
  </si>
  <si>
    <t>OFICINA DE LOGISTICA Y SERVICIOS GENERALES - SERVICIOS GENERALES</t>
  </si>
  <si>
    <t xml:space="preserve">usuario </t>
  </si>
  <si>
    <t>SU</t>
  </si>
  <si>
    <t xml:space="preserve">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</si>
</sst>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theme="1"/>
      <name val="Canda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tabSelected="1" workbookViewId="0">
      <selection activeCell="G13" sqref="G13"/>
    </sheetView>
  </sheetViews>
  <sheetFormatPr baseColWidth="10" defaultColWidth="15.7109375" defaultRowHeight="16.5" customHeight="1" x14ac:dyDescent="0.2"/>
  <cols>
    <col min="1" max="1" width="6.42578125" bestFit="1" customWidth="1"/>
    <col min="2" max="2" width="6.85546875" bestFit="1" customWidth="1"/>
    <col min="3" max="3" width="8.5703125" bestFit="1" customWidth="1"/>
    <col min="4" max="4" width="86.42578125" bestFit="1" customWidth="1"/>
    <col min="5" max="5" width="10.85546875" bestFit="1" customWidth="1"/>
    <col min="6" max="6" width="10.5703125" bestFit="1" customWidth="1"/>
    <col min="7" max="7" width="90.140625" bestFit="1" customWidth="1"/>
    <col min="8" max="9" width="11.140625" bestFit="1" customWidth="1"/>
    <col min="10" max="10" width="4.140625" bestFit="1" customWidth="1"/>
  </cols>
  <sheetData>
    <row r="1" spans="1:8" ht="16.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63</v>
      </c>
    </row>
    <row r="2" spans="1:8" ht="16.5" customHeight="1" x14ac:dyDescent="0.2">
      <c r="A2">
        <v>1</v>
      </c>
      <c r="B2">
        <v>1</v>
      </c>
      <c r="C2">
        <v>1</v>
      </c>
      <c r="D2" t="s">
        <v>4</v>
      </c>
      <c r="E2" t="s">
        <v>64</v>
      </c>
      <c r="F2" t="s">
        <v>65</v>
      </c>
      <c r="G2" t="str">
        <f>CONCATENATE(E2,F2,D2)</f>
        <v>SU - GERENCIA GENERAL</v>
      </c>
      <c r="H2">
        <f>LEN(D2)</f>
        <v>16</v>
      </c>
    </row>
    <row r="3" spans="1:8" ht="16.5" customHeight="1" x14ac:dyDescent="0.2">
      <c r="A3">
        <v>1</v>
      </c>
      <c r="B3">
        <v>2</v>
      </c>
      <c r="C3">
        <v>1</v>
      </c>
      <c r="D3" t="s">
        <v>5</v>
      </c>
      <c r="E3" t="s">
        <v>64</v>
      </c>
      <c r="F3" t="s">
        <v>65</v>
      </c>
      <c r="G3" t="str">
        <f t="shared" ref="G3:G60" si="0">CONCATENATE(E3,F3,D3)</f>
        <v>SU - EQUIPO FUNCIONAL DE PLANEAMIENTO, PRESUPUESTO Y MODERNIZACIÓN</v>
      </c>
      <c r="H3">
        <f t="shared" ref="H3:H60" si="1">LEN(D3)</f>
        <v>61</v>
      </c>
    </row>
    <row r="4" spans="1:8" ht="16.5" customHeight="1" x14ac:dyDescent="0.2">
      <c r="A4">
        <v>1</v>
      </c>
      <c r="B4">
        <v>2</v>
      </c>
      <c r="C4">
        <v>2</v>
      </c>
      <c r="D4" t="s">
        <v>6</v>
      </c>
      <c r="E4" t="s">
        <v>64</v>
      </c>
      <c r="F4" t="s">
        <v>65</v>
      </c>
      <c r="G4" t="str">
        <f t="shared" si="0"/>
        <v>SU - OFICINA DE PLANEAMIENTO</v>
      </c>
      <c r="H4">
        <f t="shared" si="1"/>
        <v>23</v>
      </c>
    </row>
    <row r="5" spans="1:8" ht="16.5" customHeight="1" x14ac:dyDescent="0.2">
      <c r="A5">
        <v>1</v>
      </c>
      <c r="B5">
        <v>2</v>
      </c>
      <c r="C5">
        <v>3</v>
      </c>
      <c r="D5" t="s">
        <v>7</v>
      </c>
      <c r="E5" t="s">
        <v>64</v>
      </c>
      <c r="F5" t="s">
        <v>65</v>
      </c>
      <c r="G5" t="str">
        <f t="shared" si="0"/>
        <v>SU - OFICINA DE PRESUPUESTO</v>
      </c>
      <c r="H5">
        <f t="shared" si="1"/>
        <v>22</v>
      </c>
    </row>
    <row r="6" spans="1:8" ht="16.5" customHeight="1" x14ac:dyDescent="0.2">
      <c r="A6">
        <v>1</v>
      </c>
      <c r="B6">
        <v>2</v>
      </c>
      <c r="C6">
        <v>4</v>
      </c>
      <c r="D6" t="s">
        <v>8</v>
      </c>
      <c r="E6" t="s">
        <v>64</v>
      </c>
      <c r="F6" t="s">
        <v>65</v>
      </c>
      <c r="G6" t="str">
        <f t="shared" si="0"/>
        <v>SU - OFICINA DE MODERNIZACIÓN</v>
      </c>
      <c r="H6">
        <f t="shared" si="1"/>
        <v>24</v>
      </c>
    </row>
    <row r="7" spans="1:8" ht="16.5" customHeight="1" x14ac:dyDescent="0.2">
      <c r="A7">
        <v>1</v>
      </c>
      <c r="B7">
        <v>3</v>
      </c>
      <c r="C7">
        <v>1</v>
      </c>
      <c r="D7" t="s">
        <v>9</v>
      </c>
      <c r="E7" t="s">
        <v>64</v>
      </c>
      <c r="F7" t="s">
        <v>65</v>
      </c>
      <c r="G7" t="str">
        <f t="shared" si="0"/>
        <v>SU - EQUIPO FUNCIONAL DE ASESORÍA JURÍDICA</v>
      </c>
      <c r="H7">
        <f t="shared" si="1"/>
        <v>37</v>
      </c>
    </row>
    <row r="8" spans="1:8" ht="16.5" customHeight="1" x14ac:dyDescent="0.2">
      <c r="A8">
        <v>1</v>
      </c>
      <c r="B8">
        <v>4</v>
      </c>
      <c r="C8">
        <v>1</v>
      </c>
      <c r="D8" t="s">
        <v>10</v>
      </c>
      <c r="E8" t="s">
        <v>64</v>
      </c>
      <c r="F8" t="s">
        <v>65</v>
      </c>
      <c r="G8" t="str">
        <f t="shared" si="0"/>
        <v>SU - EQUIPO FUNCIONAL DE ADMINISTRACIÓN</v>
      </c>
      <c r="H8">
        <f t="shared" si="1"/>
        <v>34</v>
      </c>
    </row>
    <row r="9" spans="1:8" ht="16.5" customHeight="1" x14ac:dyDescent="0.2">
      <c r="A9">
        <v>1</v>
      </c>
      <c r="B9">
        <v>4</v>
      </c>
      <c r="C9">
        <v>2</v>
      </c>
      <c r="D9" t="s">
        <v>11</v>
      </c>
      <c r="E9" t="s">
        <v>64</v>
      </c>
      <c r="F9" t="s">
        <v>65</v>
      </c>
      <c r="G9" t="str">
        <f t="shared" si="0"/>
        <v>SU - OFICINA DE ECONOMÍA</v>
      </c>
      <c r="H9">
        <f t="shared" si="1"/>
        <v>19</v>
      </c>
    </row>
    <row r="10" spans="1:8" ht="16.5" customHeight="1" x14ac:dyDescent="0.2">
      <c r="A10">
        <v>1</v>
      </c>
      <c r="B10">
        <v>4</v>
      </c>
      <c r="C10">
        <v>3</v>
      </c>
      <c r="D10" t="s">
        <v>12</v>
      </c>
      <c r="E10" t="s">
        <v>64</v>
      </c>
      <c r="F10" t="s">
        <v>65</v>
      </c>
      <c r="G10" t="str">
        <f t="shared" si="0"/>
        <v>SU - OFICINA DE LOGÍSTICA Y PATRIMONIO</v>
      </c>
      <c r="H10">
        <f t="shared" si="1"/>
        <v>33</v>
      </c>
    </row>
    <row r="11" spans="1:8" ht="16.5" customHeight="1" x14ac:dyDescent="0.2">
      <c r="A11">
        <v>1</v>
      </c>
      <c r="B11">
        <v>5</v>
      </c>
      <c r="C11">
        <v>1</v>
      </c>
      <c r="D11" t="s">
        <v>13</v>
      </c>
      <c r="E11" t="s">
        <v>64</v>
      </c>
      <c r="F11" t="s">
        <v>65</v>
      </c>
      <c r="G11" t="str">
        <f t="shared" si="0"/>
        <v>SU - EQUIPO FUNCIONAL DE GESTIÓN Y DESARROLLO DE RECURSOS HUMANOS</v>
      </c>
      <c r="H11">
        <f t="shared" si="1"/>
        <v>60</v>
      </c>
    </row>
    <row r="12" spans="1:8" ht="16.5" customHeight="1" x14ac:dyDescent="0.2">
      <c r="A12">
        <v>1</v>
      </c>
      <c r="B12">
        <v>6</v>
      </c>
      <c r="C12">
        <v>1</v>
      </c>
      <c r="D12" t="s">
        <v>14</v>
      </c>
      <c r="E12" t="s">
        <v>64</v>
      </c>
      <c r="F12" t="s">
        <v>65</v>
      </c>
      <c r="G12" t="str">
        <f t="shared" si="0"/>
        <v>SU - EQUIPO FUNCIONAL DE ESTADÍSTICA, TECNOLOGÍA DE LA INFORMACIÓN Y COMUNICACIONES</v>
      </c>
      <c r="H12">
        <f t="shared" si="1"/>
        <v>78</v>
      </c>
    </row>
    <row r="13" spans="1:8" ht="16.5" customHeight="1" x14ac:dyDescent="0.2">
      <c r="A13">
        <v>1</v>
      </c>
      <c r="B13">
        <v>7</v>
      </c>
      <c r="C13">
        <v>1</v>
      </c>
      <c r="D13" t="s">
        <v>15</v>
      </c>
      <c r="E13" t="s">
        <v>64</v>
      </c>
      <c r="F13" t="s">
        <v>65</v>
      </c>
      <c r="G13" t="str">
        <f t="shared" si="0"/>
        <v>SU - EQUIPO FUNCIONAL DE GESTIÓN DEL ASEGURADO</v>
      </c>
      <c r="H13">
        <f t="shared" si="1"/>
        <v>41</v>
      </c>
    </row>
    <row r="14" spans="1:8" ht="16.5" customHeight="1" x14ac:dyDescent="0.2">
      <c r="A14">
        <v>1</v>
      </c>
      <c r="B14">
        <v>8</v>
      </c>
      <c r="C14">
        <v>1</v>
      </c>
      <c r="D14" t="s">
        <v>16</v>
      </c>
      <c r="E14" t="s">
        <v>64</v>
      </c>
      <c r="F14" t="s">
        <v>65</v>
      </c>
      <c r="G14" t="str">
        <f t="shared" si="0"/>
        <v>SU - EQUIPO FUNCIONAL DE FINANCIAMIENTO</v>
      </c>
      <c r="H14">
        <f t="shared" si="1"/>
        <v>34</v>
      </c>
    </row>
    <row r="15" spans="1:8" ht="16.5" customHeight="1" x14ac:dyDescent="0.2">
      <c r="A15">
        <v>1</v>
      </c>
      <c r="B15">
        <v>9</v>
      </c>
      <c r="C15">
        <v>1</v>
      </c>
      <c r="D15" t="s">
        <v>17</v>
      </c>
      <c r="E15" t="s">
        <v>64</v>
      </c>
      <c r="F15" t="s">
        <v>65</v>
      </c>
      <c r="G15" t="str">
        <f t="shared" si="0"/>
        <v>SU - EQUIPO FUNCIONAL DE PRESTACIONES DE SALUD</v>
      </c>
      <c r="H15">
        <f t="shared" si="1"/>
        <v>41</v>
      </c>
    </row>
    <row r="16" spans="1:8" ht="16.5" customHeight="1" x14ac:dyDescent="0.2">
      <c r="A16">
        <v>1</v>
      </c>
      <c r="B16">
        <v>10</v>
      </c>
      <c r="C16">
        <v>1</v>
      </c>
      <c r="D16" t="s">
        <v>18</v>
      </c>
      <c r="E16" t="s">
        <v>64</v>
      </c>
      <c r="F16" t="s">
        <v>65</v>
      </c>
      <c r="G16" t="str">
        <f t="shared" si="0"/>
        <v>SU - OFICINAS DE SEGUROS</v>
      </c>
      <c r="H16">
        <f t="shared" si="1"/>
        <v>19</v>
      </c>
    </row>
    <row r="17" spans="1:8" ht="16.5" customHeight="1" x14ac:dyDescent="0.2">
      <c r="A17">
        <v>1</v>
      </c>
      <c r="B17">
        <v>10</v>
      </c>
      <c r="C17">
        <v>2</v>
      </c>
      <c r="D17" t="s">
        <v>19</v>
      </c>
      <c r="E17" t="s">
        <v>64</v>
      </c>
      <c r="F17" t="s">
        <v>65</v>
      </c>
      <c r="G17" t="str">
        <f t="shared" si="0"/>
        <v>SU - UNIDAD SALUDPOL LIMA</v>
      </c>
      <c r="H17">
        <f t="shared" si="1"/>
        <v>20</v>
      </c>
    </row>
    <row r="18" spans="1:8" ht="16.5" customHeight="1" x14ac:dyDescent="0.2">
      <c r="A18">
        <v>1</v>
      </c>
      <c r="B18">
        <v>10</v>
      </c>
      <c r="C18">
        <v>3</v>
      </c>
      <c r="D18" t="s">
        <v>20</v>
      </c>
      <c r="E18" t="s">
        <v>64</v>
      </c>
      <c r="F18" t="s">
        <v>65</v>
      </c>
      <c r="G18" t="str">
        <f t="shared" si="0"/>
        <v>SU - UNIDAD SALUDPOL LAMBAYEQUE</v>
      </c>
      <c r="H18">
        <f t="shared" si="1"/>
        <v>26</v>
      </c>
    </row>
    <row r="19" spans="1:8" ht="16.5" customHeight="1" x14ac:dyDescent="0.2">
      <c r="A19">
        <v>1</v>
      </c>
      <c r="B19">
        <v>10</v>
      </c>
      <c r="C19">
        <v>4</v>
      </c>
      <c r="D19" t="s">
        <v>21</v>
      </c>
      <c r="E19" t="s">
        <v>64</v>
      </c>
      <c r="F19" t="s">
        <v>65</v>
      </c>
      <c r="G19" t="str">
        <f t="shared" si="0"/>
        <v>SU - UNIDAD SALUDPOL TUMBES</v>
      </c>
      <c r="H19">
        <f t="shared" si="1"/>
        <v>22</v>
      </c>
    </row>
    <row r="20" spans="1:8" ht="16.5" customHeight="1" x14ac:dyDescent="0.2">
      <c r="A20">
        <v>1</v>
      </c>
      <c r="B20">
        <v>10</v>
      </c>
      <c r="C20">
        <v>5</v>
      </c>
      <c r="D20" t="s">
        <v>22</v>
      </c>
      <c r="E20" t="s">
        <v>64</v>
      </c>
      <c r="F20" t="s">
        <v>65</v>
      </c>
      <c r="G20" t="str">
        <f t="shared" si="0"/>
        <v>SU - UNIDAD SALUDPOL PIURA</v>
      </c>
      <c r="H20">
        <f t="shared" si="1"/>
        <v>21</v>
      </c>
    </row>
    <row r="21" spans="1:8" ht="16.5" customHeight="1" x14ac:dyDescent="0.2">
      <c r="A21">
        <v>1</v>
      </c>
      <c r="B21">
        <v>10</v>
      </c>
      <c r="C21">
        <v>6</v>
      </c>
      <c r="D21" t="s">
        <v>23</v>
      </c>
      <c r="E21" t="s">
        <v>64</v>
      </c>
      <c r="F21" t="s">
        <v>65</v>
      </c>
      <c r="G21" t="str">
        <f t="shared" si="0"/>
        <v>SU - UNIDAD SALUDPOL SAN MARTIN</v>
      </c>
      <c r="H21">
        <f t="shared" si="1"/>
        <v>26</v>
      </c>
    </row>
    <row r="22" spans="1:8" ht="16.5" customHeight="1" x14ac:dyDescent="0.2">
      <c r="A22">
        <v>1</v>
      </c>
      <c r="B22">
        <v>10</v>
      </c>
      <c r="C22">
        <v>7</v>
      </c>
      <c r="D22" t="s">
        <v>24</v>
      </c>
      <c r="E22" t="s">
        <v>64</v>
      </c>
      <c r="F22" t="s">
        <v>65</v>
      </c>
      <c r="G22" t="str">
        <f t="shared" si="0"/>
        <v>SU - UNIDAD SALUDPOL HUARAZ</v>
      </c>
      <c r="H22">
        <f t="shared" si="1"/>
        <v>22</v>
      </c>
    </row>
    <row r="23" spans="1:8" ht="16.5" customHeight="1" x14ac:dyDescent="0.2">
      <c r="A23">
        <v>1</v>
      </c>
      <c r="B23">
        <v>10</v>
      </c>
      <c r="C23">
        <v>8</v>
      </c>
      <c r="D23" t="s">
        <v>25</v>
      </c>
      <c r="E23" t="s">
        <v>64</v>
      </c>
      <c r="F23" t="s">
        <v>65</v>
      </c>
      <c r="G23" t="str">
        <f t="shared" si="0"/>
        <v>SU - UNIDAD SALUDPOL CUSCO</v>
      </c>
      <c r="H23">
        <f t="shared" si="1"/>
        <v>21</v>
      </c>
    </row>
    <row r="24" spans="1:8" ht="16.5" customHeight="1" x14ac:dyDescent="0.2">
      <c r="A24">
        <v>1</v>
      </c>
      <c r="B24">
        <v>10</v>
      </c>
      <c r="C24">
        <v>9</v>
      </c>
      <c r="D24" t="s">
        <v>26</v>
      </c>
      <c r="E24" t="s">
        <v>64</v>
      </c>
      <c r="F24" t="s">
        <v>65</v>
      </c>
      <c r="G24" t="str">
        <f t="shared" si="0"/>
        <v>SU - UNIDAD SALUDPOL CAJAMARCA</v>
      </c>
      <c r="H24">
        <f t="shared" si="1"/>
        <v>25</v>
      </c>
    </row>
    <row r="25" spans="1:8" ht="16.5" customHeight="1" x14ac:dyDescent="0.2">
      <c r="A25">
        <v>1</v>
      </c>
      <c r="B25">
        <v>10</v>
      </c>
      <c r="C25">
        <v>10</v>
      </c>
      <c r="D25" t="s">
        <v>27</v>
      </c>
      <c r="E25" t="s">
        <v>64</v>
      </c>
      <c r="F25" t="s">
        <v>65</v>
      </c>
      <c r="G25" t="str">
        <f t="shared" si="0"/>
        <v>SU - UNIDAD SALUDPOL MADRE DE DIOS</v>
      </c>
      <c r="H25">
        <f t="shared" si="1"/>
        <v>29</v>
      </c>
    </row>
    <row r="26" spans="1:8" ht="16.5" customHeight="1" x14ac:dyDescent="0.2">
      <c r="A26">
        <v>1</v>
      </c>
      <c r="B26">
        <v>10</v>
      </c>
      <c r="C26">
        <v>11</v>
      </c>
      <c r="D26" t="s">
        <v>28</v>
      </c>
      <c r="E26" t="s">
        <v>64</v>
      </c>
      <c r="F26" t="s">
        <v>65</v>
      </c>
      <c r="G26" t="str">
        <f t="shared" si="0"/>
        <v>SU - UNIDAD SALUDPOL AMAZONAS</v>
      </c>
      <c r="H26">
        <f t="shared" si="1"/>
        <v>24</v>
      </c>
    </row>
    <row r="27" spans="1:8" ht="16.5" customHeight="1" x14ac:dyDescent="0.2">
      <c r="A27">
        <v>1</v>
      </c>
      <c r="B27">
        <v>10</v>
      </c>
      <c r="C27">
        <v>12</v>
      </c>
      <c r="D27" t="s">
        <v>29</v>
      </c>
      <c r="E27" t="s">
        <v>64</v>
      </c>
      <c r="F27" t="s">
        <v>65</v>
      </c>
      <c r="G27" t="str">
        <f t="shared" si="0"/>
        <v>SU - UNIDAD SALUDPOL AYACUCHO</v>
      </c>
      <c r="H27">
        <f t="shared" si="1"/>
        <v>24</v>
      </c>
    </row>
    <row r="28" spans="1:8" ht="16.5" customHeight="1" x14ac:dyDescent="0.2">
      <c r="A28">
        <v>1</v>
      </c>
      <c r="B28">
        <v>10</v>
      </c>
      <c r="C28">
        <v>13</v>
      </c>
      <c r="D28" t="s">
        <v>30</v>
      </c>
      <c r="E28" t="s">
        <v>64</v>
      </c>
      <c r="F28" t="s">
        <v>65</v>
      </c>
      <c r="G28" t="str">
        <f t="shared" si="0"/>
        <v>SU - UNIDAD SALUDPOL ICA</v>
      </c>
      <c r="H28">
        <f t="shared" si="1"/>
        <v>19</v>
      </c>
    </row>
    <row r="29" spans="1:8" ht="16.5" customHeight="1" x14ac:dyDescent="0.2">
      <c r="A29">
        <v>1</v>
      </c>
      <c r="B29">
        <v>10</v>
      </c>
      <c r="C29">
        <v>14</v>
      </c>
      <c r="D29" t="s">
        <v>31</v>
      </c>
      <c r="E29" t="s">
        <v>64</v>
      </c>
      <c r="F29" t="s">
        <v>65</v>
      </c>
      <c r="G29" t="str">
        <f t="shared" si="0"/>
        <v>SU - UNIDAD SALUDPOL LORETO</v>
      </c>
      <c r="H29">
        <f t="shared" si="1"/>
        <v>22</v>
      </c>
    </row>
    <row r="30" spans="1:8" ht="16.5" customHeight="1" x14ac:dyDescent="0.2">
      <c r="A30">
        <v>1</v>
      </c>
      <c r="B30">
        <v>10</v>
      </c>
      <c r="C30">
        <v>15</v>
      </c>
      <c r="D30" t="s">
        <v>32</v>
      </c>
      <c r="E30" t="s">
        <v>64</v>
      </c>
      <c r="F30" t="s">
        <v>65</v>
      </c>
      <c r="G30" t="str">
        <f t="shared" si="0"/>
        <v>SU - UNIDAD SALUDPOL MOQUEGUA</v>
      </c>
      <c r="H30">
        <f t="shared" si="1"/>
        <v>24</v>
      </c>
    </row>
    <row r="31" spans="1:8" ht="16.5" customHeight="1" x14ac:dyDescent="0.2">
      <c r="A31">
        <v>1</v>
      </c>
      <c r="B31">
        <v>10</v>
      </c>
      <c r="C31">
        <v>16</v>
      </c>
      <c r="D31" t="s">
        <v>33</v>
      </c>
      <c r="E31" t="s">
        <v>64</v>
      </c>
      <c r="F31" t="s">
        <v>65</v>
      </c>
      <c r="G31" t="str">
        <f t="shared" si="0"/>
        <v>SU - UNIDAD SALUDPOL TACNA</v>
      </c>
      <c r="H31">
        <f t="shared" si="1"/>
        <v>21</v>
      </c>
    </row>
    <row r="32" spans="1:8" ht="16.5" customHeight="1" x14ac:dyDescent="0.2">
      <c r="A32">
        <v>1</v>
      </c>
      <c r="B32">
        <v>10</v>
      </c>
      <c r="C32">
        <v>17</v>
      </c>
      <c r="D32" t="s">
        <v>34</v>
      </c>
      <c r="E32" t="s">
        <v>64</v>
      </c>
      <c r="F32" t="s">
        <v>65</v>
      </c>
      <c r="G32" t="str">
        <f t="shared" si="0"/>
        <v>SU - UNIDAD SALUDPOL PUNO</v>
      </c>
      <c r="H32">
        <f t="shared" si="1"/>
        <v>20</v>
      </c>
    </row>
    <row r="33" spans="1:8" ht="16.5" customHeight="1" x14ac:dyDescent="0.2">
      <c r="A33">
        <v>1</v>
      </c>
      <c r="B33">
        <v>10</v>
      </c>
      <c r="C33">
        <v>18</v>
      </c>
      <c r="D33" t="s">
        <v>35</v>
      </c>
      <c r="E33" t="s">
        <v>64</v>
      </c>
      <c r="F33" t="s">
        <v>65</v>
      </c>
      <c r="G33" t="str">
        <f t="shared" si="0"/>
        <v>SU - UNIDAD SALUDPOL AREQUIPA</v>
      </c>
      <c r="H33">
        <f t="shared" si="1"/>
        <v>24</v>
      </c>
    </row>
    <row r="34" spans="1:8" ht="16.5" customHeight="1" x14ac:dyDescent="0.2">
      <c r="A34">
        <v>1</v>
      </c>
      <c r="B34">
        <v>10</v>
      </c>
      <c r="C34">
        <v>19</v>
      </c>
      <c r="D34" t="s">
        <v>36</v>
      </c>
      <c r="E34" t="s">
        <v>64</v>
      </c>
      <c r="F34" t="s">
        <v>65</v>
      </c>
      <c r="G34" t="str">
        <f t="shared" si="0"/>
        <v>SU - UNIDAD SALUDPOL LA LIBERTAD</v>
      </c>
      <c r="H34">
        <f t="shared" si="1"/>
        <v>27</v>
      </c>
    </row>
    <row r="35" spans="1:8" ht="16.5" customHeight="1" x14ac:dyDescent="0.2">
      <c r="A35">
        <v>1</v>
      </c>
      <c r="B35">
        <v>10</v>
      </c>
      <c r="C35">
        <v>20</v>
      </c>
      <c r="D35" t="s">
        <v>37</v>
      </c>
      <c r="E35" t="s">
        <v>64</v>
      </c>
      <c r="F35" t="s">
        <v>65</v>
      </c>
      <c r="G35" t="str">
        <f t="shared" si="0"/>
        <v>SU - UNIDAD SALUDPOL APURIMAC</v>
      </c>
      <c r="H35">
        <f t="shared" si="1"/>
        <v>24</v>
      </c>
    </row>
    <row r="36" spans="1:8" ht="16.5" customHeight="1" x14ac:dyDescent="0.2">
      <c r="A36">
        <v>1</v>
      </c>
      <c r="B36">
        <v>10</v>
      </c>
      <c r="C36">
        <v>21</v>
      </c>
      <c r="D36" t="s">
        <v>38</v>
      </c>
      <c r="E36" t="s">
        <v>64</v>
      </c>
      <c r="F36" t="s">
        <v>65</v>
      </c>
      <c r="G36" t="str">
        <f t="shared" si="0"/>
        <v>SU - UNIDAD SALUDPOL JUNIN</v>
      </c>
      <c r="H36">
        <f t="shared" si="1"/>
        <v>21</v>
      </c>
    </row>
    <row r="37" spans="1:8" ht="16.5" customHeight="1" x14ac:dyDescent="0.2">
      <c r="A37">
        <v>1</v>
      </c>
      <c r="B37">
        <v>10</v>
      </c>
      <c r="C37">
        <v>22</v>
      </c>
      <c r="D37" t="s">
        <v>39</v>
      </c>
      <c r="E37" t="s">
        <v>64</v>
      </c>
      <c r="F37" t="s">
        <v>65</v>
      </c>
      <c r="G37" t="str">
        <f t="shared" si="0"/>
        <v>SU - UNIDAD SALUDPOL UCAYALI</v>
      </c>
      <c r="H37">
        <f t="shared" si="1"/>
        <v>23</v>
      </c>
    </row>
    <row r="38" spans="1:8" ht="16.5" customHeight="1" x14ac:dyDescent="0.2">
      <c r="A38">
        <v>1</v>
      </c>
      <c r="B38">
        <v>10</v>
      </c>
      <c r="C38">
        <v>23</v>
      </c>
      <c r="D38" t="s">
        <v>40</v>
      </c>
      <c r="E38" t="s">
        <v>64</v>
      </c>
      <c r="F38" t="s">
        <v>65</v>
      </c>
      <c r="G38" t="str">
        <f t="shared" si="0"/>
        <v>SU - UNIDAD SALUDPOL PASCO</v>
      </c>
      <c r="H38">
        <f t="shared" si="1"/>
        <v>21</v>
      </c>
    </row>
    <row r="39" spans="1:8" ht="16.5" customHeight="1" x14ac:dyDescent="0.2">
      <c r="A39">
        <v>1</v>
      </c>
      <c r="B39">
        <v>10</v>
      </c>
      <c r="C39">
        <v>24</v>
      </c>
      <c r="D39" t="s">
        <v>41</v>
      </c>
      <c r="E39" t="s">
        <v>64</v>
      </c>
      <c r="F39" t="s">
        <v>65</v>
      </c>
      <c r="G39" t="str">
        <f t="shared" si="0"/>
        <v>SU - UNIDAD SALUDPOL HUANUCO</v>
      </c>
      <c r="H39">
        <f t="shared" si="1"/>
        <v>23</v>
      </c>
    </row>
    <row r="40" spans="1:8" ht="16.5" customHeight="1" x14ac:dyDescent="0.2">
      <c r="A40">
        <v>1</v>
      </c>
      <c r="B40">
        <v>10</v>
      </c>
      <c r="C40">
        <v>25</v>
      </c>
      <c r="D40" t="s">
        <v>42</v>
      </c>
      <c r="E40" t="s">
        <v>64</v>
      </c>
      <c r="F40" t="s">
        <v>65</v>
      </c>
      <c r="G40" t="str">
        <f t="shared" si="0"/>
        <v>SU - UNIDAD SALUDPOL HUANCAVELICA</v>
      </c>
      <c r="H40">
        <f t="shared" si="1"/>
        <v>28</v>
      </c>
    </row>
    <row r="41" spans="1:8" ht="16.5" customHeight="1" x14ac:dyDescent="0.2">
      <c r="A41">
        <v>1</v>
      </c>
      <c r="B41">
        <v>4</v>
      </c>
      <c r="C41">
        <v>4</v>
      </c>
      <c r="D41" t="s">
        <v>43</v>
      </c>
      <c r="E41" t="s">
        <v>64</v>
      </c>
      <c r="F41" t="s">
        <v>65</v>
      </c>
      <c r="G41" t="str">
        <f t="shared" si="0"/>
        <v>SU - GESTIÓN DOCUMENTARIA Y ARCHIVO</v>
      </c>
      <c r="H41">
        <f t="shared" si="1"/>
        <v>30</v>
      </c>
    </row>
    <row r="42" spans="1:8" ht="16.5" customHeight="1" x14ac:dyDescent="0.2">
      <c r="A42">
        <v>1</v>
      </c>
      <c r="B42">
        <v>7</v>
      </c>
      <c r="C42">
        <v>2</v>
      </c>
      <c r="D42" t="s">
        <v>44</v>
      </c>
      <c r="E42" t="s">
        <v>64</v>
      </c>
      <c r="F42" t="s">
        <v>65</v>
      </c>
      <c r="G42" t="str">
        <f t="shared" si="0"/>
        <v>SU - OFICINA DE PROMOCION Y VIGILANCIA DE LOS DERECHOS DEL ASEGURADO</v>
      </c>
      <c r="H42">
        <f t="shared" si="1"/>
        <v>63</v>
      </c>
    </row>
    <row r="43" spans="1:8" ht="16.5" customHeight="1" x14ac:dyDescent="0.2">
      <c r="A43">
        <v>1</v>
      </c>
      <c r="B43">
        <v>7</v>
      </c>
      <c r="C43">
        <v>3</v>
      </c>
      <c r="D43" t="s">
        <v>45</v>
      </c>
      <c r="E43" t="s">
        <v>64</v>
      </c>
      <c r="F43" t="s">
        <v>65</v>
      </c>
      <c r="G43" t="str">
        <f t="shared" si="0"/>
        <v>SU - OFICINA DE GESTION DEL ASEGURAMIENTO</v>
      </c>
      <c r="H43">
        <f t="shared" si="1"/>
        <v>36</v>
      </c>
    </row>
    <row r="44" spans="1:8" ht="16.5" customHeight="1" x14ac:dyDescent="0.2">
      <c r="A44">
        <v>1</v>
      </c>
      <c r="B44">
        <v>7</v>
      </c>
      <c r="C44">
        <v>4</v>
      </c>
      <c r="D44" t="s">
        <v>46</v>
      </c>
      <c r="E44" t="s">
        <v>64</v>
      </c>
      <c r="F44" t="s">
        <v>65</v>
      </c>
      <c r="G44" t="str">
        <f t="shared" si="0"/>
        <v>SU - OFICINA DE SEGUROS LIMA</v>
      </c>
      <c r="H44">
        <f t="shared" si="1"/>
        <v>23</v>
      </c>
    </row>
    <row r="45" spans="1:8" ht="16.5" customHeight="1" x14ac:dyDescent="0.2">
      <c r="A45">
        <v>1</v>
      </c>
      <c r="B45">
        <v>8</v>
      </c>
      <c r="C45">
        <v>2</v>
      </c>
      <c r="D45" t="s">
        <v>47</v>
      </c>
      <c r="E45" t="s">
        <v>64</v>
      </c>
      <c r="F45" t="s">
        <v>65</v>
      </c>
      <c r="G45" t="str">
        <f t="shared" si="0"/>
        <v>SU - OFICINA DE CARTAS DE GARANTIA</v>
      </c>
      <c r="H45">
        <f t="shared" si="1"/>
        <v>29</v>
      </c>
    </row>
    <row r="46" spans="1:8" ht="16.5" customHeight="1" x14ac:dyDescent="0.2">
      <c r="A46">
        <v>1</v>
      </c>
      <c r="B46">
        <v>4</v>
      </c>
      <c r="C46">
        <v>5</v>
      </c>
      <c r="D46" t="s">
        <v>48</v>
      </c>
      <c r="E46" t="s">
        <v>64</v>
      </c>
      <c r="F46" t="s">
        <v>65</v>
      </c>
      <c r="G46" t="str">
        <f t="shared" si="0"/>
        <v>SU - OFICINA DE ECONOMIA - AREA DE TESORERIA</v>
      </c>
      <c r="H46">
        <f t="shared" si="1"/>
        <v>39</v>
      </c>
    </row>
    <row r="47" spans="1:8" ht="16.5" customHeight="1" x14ac:dyDescent="0.2">
      <c r="A47">
        <v>1</v>
      </c>
      <c r="B47">
        <v>4</v>
      </c>
      <c r="C47">
        <v>6</v>
      </c>
      <c r="D47" t="s">
        <v>49</v>
      </c>
      <c r="E47" t="s">
        <v>64</v>
      </c>
      <c r="F47" t="s">
        <v>65</v>
      </c>
      <c r="G47" t="str">
        <f t="shared" si="0"/>
        <v>SU - OFICINA DE ECONOMIA - AREA DE CONTABILIDAD</v>
      </c>
      <c r="H47">
        <f t="shared" si="1"/>
        <v>42</v>
      </c>
    </row>
    <row r="48" spans="1:8" ht="16.5" customHeight="1" x14ac:dyDescent="0.2">
      <c r="A48">
        <v>1</v>
      </c>
      <c r="B48">
        <v>4</v>
      </c>
      <c r="C48">
        <v>7</v>
      </c>
      <c r="D48" t="s">
        <v>50</v>
      </c>
      <c r="E48" t="s">
        <v>64</v>
      </c>
      <c r="F48" t="s">
        <v>65</v>
      </c>
      <c r="G48" t="str">
        <f t="shared" si="0"/>
        <v>SU - OFICINA DE ECONOMIA - AREA DE CONTROL PREVIO</v>
      </c>
      <c r="H48">
        <f t="shared" si="1"/>
        <v>44</v>
      </c>
    </row>
    <row r="49" spans="1:8" ht="16.5" customHeight="1" x14ac:dyDescent="0.2">
      <c r="A49">
        <v>1</v>
      </c>
      <c r="B49">
        <v>4</v>
      </c>
      <c r="C49">
        <v>8</v>
      </c>
      <c r="D49" t="s">
        <v>51</v>
      </c>
      <c r="E49" t="s">
        <v>64</v>
      </c>
      <c r="F49" t="s">
        <v>65</v>
      </c>
      <c r="G49" t="str">
        <f t="shared" si="0"/>
        <v>SU - OFICINA DE ECONOMIA - AREA DE CAJA CHICA</v>
      </c>
      <c r="H49">
        <f t="shared" si="1"/>
        <v>40</v>
      </c>
    </row>
    <row r="50" spans="1:8" ht="16.5" customHeight="1" x14ac:dyDescent="0.2">
      <c r="A50">
        <v>1</v>
      </c>
      <c r="B50">
        <v>4</v>
      </c>
      <c r="C50">
        <v>9</v>
      </c>
      <c r="D50" t="s">
        <v>52</v>
      </c>
      <c r="E50" t="s">
        <v>64</v>
      </c>
      <c r="F50" t="s">
        <v>65</v>
      </c>
      <c r="G50" t="str">
        <f t="shared" si="0"/>
        <v>SU - GESTIÓN DOCUMENTARIA Y ARCHIVO - HLNS</v>
      </c>
      <c r="H50">
        <f t="shared" si="1"/>
        <v>37</v>
      </c>
    </row>
    <row r="51" spans="1:8" ht="16.5" customHeight="1" x14ac:dyDescent="0.2">
      <c r="A51">
        <v>1</v>
      </c>
      <c r="B51">
        <v>4</v>
      </c>
      <c r="C51">
        <v>10</v>
      </c>
      <c r="D51" t="s">
        <v>53</v>
      </c>
      <c r="E51" t="s">
        <v>64</v>
      </c>
      <c r="F51" t="s">
        <v>65</v>
      </c>
      <c r="G51" t="str">
        <f t="shared" si="0"/>
        <v>SU - OFICINA DE ECONOMIA - AREA DE CAJA CHICA - HLNS</v>
      </c>
      <c r="H51">
        <f t="shared" si="1"/>
        <v>47</v>
      </c>
    </row>
    <row r="52" spans="1:8" ht="16.5" customHeight="1" x14ac:dyDescent="0.2">
      <c r="A52">
        <v>1</v>
      </c>
      <c r="B52">
        <v>4</v>
      </c>
      <c r="C52">
        <v>11</v>
      </c>
      <c r="D52" t="s">
        <v>54</v>
      </c>
      <c r="E52" t="s">
        <v>64</v>
      </c>
      <c r="F52" t="s">
        <v>65</v>
      </c>
      <c r="G52" t="str">
        <f t="shared" si="0"/>
        <v>SU - OFICINA DE ECONOMIA - AREA DE CONTROL PREVIO - HLNS</v>
      </c>
      <c r="H52">
        <f t="shared" si="1"/>
        <v>51</v>
      </c>
    </row>
    <row r="53" spans="1:8" ht="16.5" customHeight="1" x14ac:dyDescent="0.2">
      <c r="A53">
        <v>1</v>
      </c>
      <c r="B53">
        <v>4</v>
      </c>
      <c r="C53">
        <v>12</v>
      </c>
      <c r="D53" t="s">
        <v>55</v>
      </c>
      <c r="E53" t="s">
        <v>64</v>
      </c>
      <c r="F53" t="s">
        <v>65</v>
      </c>
      <c r="G53" t="str">
        <f t="shared" si="0"/>
        <v>SU - OFICINA DE LOGISTICA Y SERVICIOS GENERALES - ALMACEN CENTRAL</v>
      </c>
      <c r="H53">
        <f t="shared" si="1"/>
        <v>60</v>
      </c>
    </row>
    <row r="54" spans="1:8" ht="16.5" customHeight="1" x14ac:dyDescent="0.2">
      <c r="A54">
        <v>1</v>
      </c>
      <c r="B54">
        <v>4</v>
      </c>
      <c r="C54">
        <v>13</v>
      </c>
      <c r="D54" t="s">
        <v>56</v>
      </c>
      <c r="E54" t="s">
        <v>64</v>
      </c>
      <c r="F54" t="s">
        <v>65</v>
      </c>
      <c r="G54" t="str">
        <f t="shared" si="0"/>
        <v>SU - OFICINA DE LOGISTICA Y SERVICIOS GENERALES - ACTOS PREPARATORIOS PROCEDIMIENTO SELECCIÓN</v>
      </c>
      <c r="H54">
        <f t="shared" si="1"/>
        <v>88</v>
      </c>
    </row>
    <row r="55" spans="1:8" ht="16.5" customHeight="1" x14ac:dyDescent="0.2">
      <c r="A55">
        <v>1</v>
      </c>
      <c r="B55">
        <v>4</v>
      </c>
      <c r="C55">
        <v>14</v>
      </c>
      <c r="D55" t="s">
        <v>57</v>
      </c>
      <c r="E55" t="s">
        <v>64</v>
      </c>
      <c r="F55" t="s">
        <v>65</v>
      </c>
      <c r="G55" t="str">
        <f t="shared" si="0"/>
        <v>SU - OFICINA DE LOGISTICA Y SERVICIOS GENERALES - EJECUCION CONTRACTUAL</v>
      </c>
      <c r="H55">
        <f t="shared" si="1"/>
        <v>66</v>
      </c>
    </row>
    <row r="56" spans="1:8" ht="16.5" customHeight="1" x14ac:dyDescent="0.2">
      <c r="A56">
        <v>1</v>
      </c>
      <c r="B56">
        <v>4</v>
      </c>
      <c r="C56">
        <v>15</v>
      </c>
      <c r="D56" t="s">
        <v>58</v>
      </c>
      <c r="E56" t="s">
        <v>64</v>
      </c>
      <c r="F56" t="s">
        <v>65</v>
      </c>
      <c r="G56" t="str">
        <f t="shared" si="0"/>
        <v>SU - OFICINA DE LOGISTICA Y SERVICIOS GENERALES - PROCESOS</v>
      </c>
      <c r="H56">
        <f t="shared" si="1"/>
        <v>53</v>
      </c>
    </row>
    <row r="57" spans="1:8" ht="16.5" customHeight="1" x14ac:dyDescent="0.2">
      <c r="A57">
        <v>1</v>
      </c>
      <c r="B57">
        <v>4</v>
      </c>
      <c r="C57">
        <v>16</v>
      </c>
      <c r="D57" t="s">
        <v>59</v>
      </c>
      <c r="E57" t="s">
        <v>64</v>
      </c>
      <c r="F57" t="s">
        <v>65</v>
      </c>
      <c r="G57" t="str">
        <f t="shared" si="0"/>
        <v>SU - OFICINA DE LOGISTICA Y SERVICIOS GENERALES - PROGRAMACION</v>
      </c>
      <c r="H57">
        <f t="shared" si="1"/>
        <v>57</v>
      </c>
    </row>
    <row r="58" spans="1:8" ht="16.5" customHeight="1" x14ac:dyDescent="0.2">
      <c r="A58">
        <v>1</v>
      </c>
      <c r="B58">
        <v>4</v>
      </c>
      <c r="C58">
        <v>17</v>
      </c>
      <c r="D58" t="s">
        <v>60</v>
      </c>
      <c r="E58" t="s">
        <v>64</v>
      </c>
      <c r="F58" t="s">
        <v>65</v>
      </c>
      <c r="G58" t="str">
        <f t="shared" si="0"/>
        <v>SU - OFICINA DE LOGISTICA Y SERVICIOS GENERALES - ACTOS PREPARATORIOS MENOR 8 UIT</v>
      </c>
      <c r="H58">
        <f t="shared" si="1"/>
        <v>76</v>
      </c>
    </row>
    <row r="59" spans="1:8" ht="16.5" customHeight="1" x14ac:dyDescent="0.2">
      <c r="A59">
        <v>1</v>
      </c>
      <c r="B59">
        <v>4</v>
      </c>
      <c r="C59">
        <v>18</v>
      </c>
      <c r="D59" t="s">
        <v>61</v>
      </c>
      <c r="E59" t="s">
        <v>64</v>
      </c>
      <c r="F59" t="s">
        <v>65</v>
      </c>
      <c r="G59" t="str">
        <f t="shared" si="0"/>
        <v>SU - OFICINA DE LOGISTICA Y SERVICIOS GENERALES - PATRIMONIO</v>
      </c>
      <c r="H59">
        <f t="shared" si="1"/>
        <v>55</v>
      </c>
    </row>
    <row r="60" spans="1:8" ht="16.5" customHeight="1" x14ac:dyDescent="0.2">
      <c r="A60">
        <v>1</v>
      </c>
      <c r="B60">
        <v>4</v>
      </c>
      <c r="C60">
        <v>19</v>
      </c>
      <c r="D60" t="s">
        <v>62</v>
      </c>
      <c r="E60" t="s">
        <v>64</v>
      </c>
      <c r="F60" t="s">
        <v>65</v>
      </c>
      <c r="G60" t="str">
        <f t="shared" si="0"/>
        <v>SU - OFICINA DE LOGISTICA Y SERVICIOS GENERALES - SERVICIOS GENERALES</v>
      </c>
      <c r="H60">
        <f t="shared" si="1"/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tbl_oficinas</vt:lpstr>
      <vt:lpstr>Hoja1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Jesus Mendoza Martel</dc:creator>
  <cp:lastModifiedBy>Francisco Jesus Mendoza Martel</cp:lastModifiedBy>
  <dcterms:created xsi:type="dcterms:W3CDTF">2017-08-17T14:36:29Z</dcterms:created>
  <dcterms:modified xsi:type="dcterms:W3CDTF">2017-08-17T15:35:37Z</dcterms:modified>
</cp:coreProperties>
</file>